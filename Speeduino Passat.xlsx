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Ampseal T35" sheetId="1" state="visible" r:id="rId1"/>
    <sheet name="Speeduino Pins" sheetId="2" state="visible" r:id="rId2"/>
    <sheet name="Stepper Pins" sheetId="3" state="visible" r:id="rId3"/>
    <sheet name="injectores" sheetId="4" state="visible" r:id="rId4"/>
    <sheet name="Tiny WB Pins" sheetId="5" state="visible" r:id="rId5"/>
    <sheet name="Power" sheetId="6" state="visible" r:id="rId6"/>
    <sheet name="Folha14" sheetId="7" state="visible" r:id="rId7"/>
    <sheet name="Folha15" sheetId="8" state="visible" r:id="rId8"/>
    <sheet name="Folha16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Arial"/>
      <color rgb="FF000000"/>
      <sz val="10"/>
      <scheme val="minor"/>
    </font>
    <font>
      <name val="Arial"/>
      <color theme="1"/>
      <scheme val="minor"/>
    </font>
    <font>
      <name val="Arial"/>
      <b val="1"/>
      <color theme="1"/>
      <scheme val="minor"/>
    </font>
    <font>
      <name val="Arial"/>
      <b val="1"/>
      <color rgb="FF9900FF"/>
      <scheme val="minor"/>
    </font>
    <font>
      <name val="Arial"/>
      <b val="1"/>
      <color rgb="FFF1C232"/>
      <scheme val="minor"/>
    </font>
    <font>
      <name val="Arial"/>
      <b val="1"/>
      <color rgb="FF666666"/>
      <scheme val="minor"/>
    </font>
    <font>
      <name val="Arial"/>
      <b val="1"/>
      <color rgb="FF38761D"/>
      <scheme val="minor"/>
    </font>
  </fonts>
  <fills count="2">
    <fill>
      <patternFill/>
    </fill>
    <fill>
      <patternFill patternType="lightGray"/>
    </fill>
  </fills>
  <borders count="1">
    <border/>
  </borders>
  <cellStyleXfs count="1">
    <xf numFmtId="0" fontId="0" fillId="0" borderId="0"/>
  </cellStyleXfs>
  <cellXfs count="22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49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</cellXfs>
  <cellStyles count="1">
    <cellStyle name="Normal" xfId="0" builtinId="0"/>
  </cellStyles>
  <dxfs count="5">
    <dxf>
      <font/>
      <fill>
        <patternFill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8" defaultTableStyle="TableStyleMedium9" defaultPivotStyle="PivotStyleLight16">
    <tableStyle name="Speeduino Pins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Stepper Pins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injectores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Tiny WB Pins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Power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Folha14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Folha15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Folha16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Tabela1" displayName="Tabela1" ref="A1:E41" headerRowCount="1">
  <tableColumns count="5">
    <tableColumn id="1" name="Speeduino Pin"/>
    <tableColumn id="2" name="Speeduino Function"/>
    <tableColumn id="3" name="Box DB27 Pin"/>
    <tableColumn id="4" name="Cor Fio"/>
    <tableColumn id="5" name="Used"/>
  </tableColumns>
  <tableStyleInfo name="Speeduino Pins-style" showFirstColumn="1" showLastColumn="1" showRowStripes="1" showColumnStripes="0"/>
</table>
</file>

<file path=xl/tables/table2.xml><?xml version="1.0" encoding="utf-8"?>
<table xmlns="http://schemas.openxmlformats.org/spreadsheetml/2006/main" id="2" name="Tabela4" displayName="Tabela4" ref="A1:F5" headerRowCount="1">
  <tableColumns count="6">
    <tableColumn id="1" name="Dirceu pin conection"/>
    <tableColumn id="2" name="pin correcto db27"/>
    <tableColumn id="3" name="Cor Fio"/>
    <tableColumn id="4" name="Stepper foto wiki speeduino "/>
    <tableColumn id="5" name="Connector"/>
    <tableColumn id="6" name="Speeduino Pin"/>
  </tableColumns>
  <tableStyleInfo name="Stepper Pins-style" showFirstColumn="1" showLastColumn="1" showRowStripes="1" showColumnStripes="0"/>
</table>
</file>

<file path=xl/tables/table3.xml><?xml version="1.0" encoding="utf-8"?>
<table xmlns="http://schemas.openxmlformats.org/spreadsheetml/2006/main" id="3" name="Tabela5" displayName="Tabela5" ref="A1:F3" headerRowCount="1">
  <tableColumns count="6">
    <tableColumn id="1" name="Cor"/>
    <tableColumn id="2" name="Modelo"/>
    <tableColumn id="3" name="Injector flow"/>
    <tableColumn id="4" name="Ohms"/>
    <tableColumn id="5" name="Notes"/>
    <tableColumn id="6" name="Open time"/>
  </tableColumns>
  <tableStyleInfo name="injectores-style" showFirstColumn="1" showLastColumn="1" showRowStripes="1" showColumnStripes="0"/>
</table>
</file>

<file path=xl/tables/table4.xml><?xml version="1.0" encoding="utf-8"?>
<table xmlns="http://schemas.openxmlformats.org/spreadsheetml/2006/main" id="4" name="Tabela2" displayName="Tabela2" ref="A1:G8" headerRowCount="1">
  <tableColumns count="7">
    <tableColumn id="1" name="Tiny WB DIY Pin"/>
    <tableColumn id="2" name="JPT 6 Pin"/>
    <tableColumn id="3" name="cor fio"/>
    <tableColumn id="4" name="Box DB27 Pin"/>
    <tableColumn id="5" name="Name"/>
    <tableColumn id="6" name="Function"/>
    <tableColumn id="7" name="Conexão sugerida"/>
  </tableColumns>
  <tableStyleInfo name="Tiny WB Pins-style" showFirstColumn="1" showLastColumn="1" showRowStripes="1" showColumnStripes="0"/>
</table>
</file>

<file path=xl/tables/table5.xml><?xml version="1.0" encoding="utf-8"?>
<table xmlns="http://schemas.openxmlformats.org/spreadsheetml/2006/main" id="5" name="Tabela3" displayName="Tabela3" ref="A1:B3" headerRowCount="1">
  <tableColumns count="2">
    <tableColumn id="1" name="Box DB27 Pin"/>
    <tableColumn id="2" name="O Que é"/>
  </tableColumns>
  <tableStyleInfo name="Power-style" showFirstColumn="1" showLastColumn="1" showRowStripes="1" showColumnStripes="0"/>
</table>
</file>

<file path=xl/tables/table6.xml><?xml version="1.0" encoding="utf-8"?>
<table xmlns="http://schemas.openxmlformats.org/spreadsheetml/2006/main" id="6" name="Sensot_for_clt_gauge_cluster" displayName="Sensot_for_clt_gauge_cluster" ref="A1:E4" headerRowCount="1">
  <tableColumns count="5">
    <tableColumn id="1" name="cº"/>
    <tableColumn id="2" name="ohms"/>
    <tableColumn id="3" name="49919501"/>
    <tableColumn id="4" name="049 919 501 A"/>
    <tableColumn id="5" name="049 919 501 A 2"/>
  </tableColumns>
  <tableStyleInfo name="Folha14-style" showFirstColumn="1" showLastColumn="1" showRowStripes="1" showColumnStripes="0"/>
</table>
</file>

<file path=xl/tables/table7.xml><?xml version="1.0" encoding="utf-8"?>
<table xmlns="http://schemas.openxmlformats.org/spreadsheetml/2006/main" id="7" name="clt_speeduino_sensor" displayName="clt_speeduino_sensor" ref="A1:C4" headerRowCount="1">
  <tableColumns count="3">
    <tableColumn id="1" name="c°"/>
    <tableColumn id="2" name="ohms"/>
    <tableColumn id="3" name="0281130041"/>
  </tableColumns>
  <tableStyleInfo name="Folha15-style" showFirstColumn="1" showLastColumn="1" showRowStripes="1" showColumnStripes="0"/>
</table>
</file>

<file path=xl/tables/table8.xml><?xml version="1.0" encoding="utf-8"?>
<table xmlns="http://schemas.openxmlformats.org/spreadsheetml/2006/main" id="8" name="Tabela10" displayName="Tabela10" ref="A1:C4" headerRowCount="1">
  <tableColumns count="3">
    <tableColumn id="1" name="iat that comes with gol g2"/>
    <tableColumn id="2" name="cº"/>
    <tableColumn id="3" name="ohm"/>
  </tableColumns>
  <tableStyleInfo name="Folha16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selection activeCell="A1" sqref="A1"/>
    </sheetView>
  </sheetViews>
  <sheetFormatPr baseColWidth="8" defaultRowHeight="15"/>
  <cols>
    <col width="8" customWidth="1" style="21" min="1" max="1"/>
    <col width="12" customWidth="1" style="21" min="2" max="2"/>
    <col width="28" customWidth="1" style="21" min="3" max="3"/>
    <col width="14" customWidth="1" style="21" min="4" max="4"/>
    <col width="12" customWidth="1" style="21" min="5" max="5"/>
    <col width="10" customWidth="1" style="21" min="6" max="6"/>
    <col width="16" customWidth="1" style="21" min="7" max="7"/>
    <col width="14" customWidth="1" style="21" min="8" max="8"/>
    <col width="60" customWidth="1" style="21" min="9" max="9"/>
  </cols>
  <sheetData>
    <row r="1">
      <c r="A1" t="inlineStr">
        <is>
          <t>T35 Pin</t>
        </is>
      </c>
      <c r="B1" t="inlineStr">
        <is>
          <t>Group</t>
        </is>
      </c>
      <c r="C1" t="inlineStr">
        <is>
          <t>Function</t>
        </is>
      </c>
      <c r="D1" t="inlineStr">
        <is>
          <t>Speeduino Pin</t>
        </is>
      </c>
      <c r="E1" t="inlineStr">
        <is>
          <t>Old DB27 Pin</t>
        </is>
      </c>
      <c r="F1" t="inlineStr">
        <is>
          <t>Wire Gauge</t>
        </is>
      </c>
      <c r="G1" t="inlineStr">
        <is>
          <t>Wire Color</t>
        </is>
      </c>
      <c r="H1" t="inlineStr">
        <is>
          <t>Status</t>
        </is>
      </c>
      <c r="I1" t="inlineStr">
        <is>
          <t>Notes</t>
        </is>
      </c>
    </row>
    <row r="2">
      <c r="A2" t="n">
        <v>1</v>
      </c>
      <c r="B2" t="inlineStr">
        <is>
          <t>POWER</t>
        </is>
      </c>
      <c r="C2" t="inlineStr">
        <is>
          <t>Main 12V #1 (ign-switched)</t>
        </is>
      </c>
      <c r="D2" t="inlineStr">
        <is>
          <t>-</t>
        </is>
      </c>
      <c r="E2" t="inlineStr">
        <is>
          <t>13</t>
        </is>
      </c>
      <c r="F2" t="inlineStr">
        <is>
          <t>16 AWG</t>
        </is>
      </c>
      <c r="G2" t="inlineStr">
        <is>
          <t>Vermelho</t>
        </is>
      </c>
      <c r="H2" t="inlineStr">
        <is>
          <t>CURRENT</t>
        </is>
      </c>
      <c r="I2" t="inlineStr">
        <is>
          <t>Feeds Speeduino main power</t>
        </is>
      </c>
    </row>
    <row r="3">
      <c r="A3" t="n">
        <v>2</v>
      </c>
      <c r="B3" t="inlineStr">
        <is>
          <t>POWER</t>
        </is>
      </c>
      <c r="C3" t="inlineStr">
        <is>
          <t>Main 12V #2 (ign-switched)</t>
        </is>
      </c>
      <c r="D3" t="inlineStr">
        <is>
          <t>-</t>
        </is>
      </c>
      <c r="E3" t="inlineStr">
        <is>
          <t>-</t>
        </is>
      </c>
      <c r="F3" t="inlineStr">
        <is>
          <t>16 AWG</t>
        </is>
      </c>
      <c r="G3" t="inlineStr">
        <is>
          <t>Vermelho</t>
        </is>
      </c>
      <c r="H3" t="inlineStr">
        <is>
          <t>CURRENT</t>
        </is>
      </c>
      <c r="I3" t="inlineStr">
        <is>
          <t>Redundant power feed</t>
        </is>
      </c>
    </row>
    <row r="4">
      <c r="A4" t="n">
        <v>3</v>
      </c>
      <c r="B4" t="inlineStr">
        <is>
          <t>POWER</t>
        </is>
      </c>
      <c r="C4" t="inlineStr">
        <is>
          <t>Main GND #1</t>
        </is>
      </c>
      <c r="D4" t="inlineStr">
        <is>
          <t>9,10</t>
        </is>
      </c>
      <c r="E4" t="inlineStr">
        <is>
          <t>4,16</t>
        </is>
      </c>
      <c r="F4" t="inlineStr">
        <is>
          <t>16 AWG</t>
        </is>
      </c>
      <c r="G4" t="inlineStr">
        <is>
          <t>Preto</t>
        </is>
      </c>
      <c r="H4" t="inlineStr">
        <is>
          <t>CURRENT</t>
        </is>
      </c>
      <c r="I4" t="inlineStr">
        <is>
          <t>ECU power ground</t>
        </is>
      </c>
    </row>
    <row r="5">
      <c r="A5" t="n">
        <v>4</v>
      </c>
      <c r="B5" t="inlineStr">
        <is>
          <t>POWER</t>
        </is>
      </c>
      <c r="C5" t="inlineStr">
        <is>
          <t>Main GND #2</t>
        </is>
      </c>
      <c r="D5" t="inlineStr">
        <is>
          <t>12</t>
        </is>
      </c>
      <c r="E5" t="inlineStr">
        <is>
          <t>17</t>
        </is>
      </c>
      <c r="F5" t="inlineStr">
        <is>
          <t>16 AWG</t>
        </is>
      </c>
      <c r="G5" t="inlineStr">
        <is>
          <t>Preto</t>
        </is>
      </c>
      <c r="H5" t="inlineStr">
        <is>
          <t>CURRENT</t>
        </is>
      </c>
      <c r="I5" t="inlineStr">
        <is>
          <t>Redundant power ground</t>
        </is>
      </c>
    </row>
    <row r="6">
      <c r="A6" t="n">
        <v>5</v>
      </c>
      <c r="B6" t="inlineStr">
        <is>
          <t>POWER</t>
        </is>
      </c>
      <c r="C6" t="inlineStr">
        <is>
          <t>Injector 12V rail</t>
        </is>
      </c>
      <c r="D6" t="inlineStr">
        <is>
          <t>-</t>
        </is>
      </c>
      <c r="E6" t="inlineStr">
        <is>
          <t>-</t>
        </is>
      </c>
      <c r="F6" t="inlineStr">
        <is>
          <t>16 AWG</t>
        </is>
      </c>
      <c r="G6" t="inlineStr">
        <is>
          <t>Vermelho/Azul</t>
        </is>
      </c>
      <c r="H6" t="inlineStr">
        <is>
          <t>CURRENT</t>
        </is>
      </c>
      <c r="I6" t="inlineStr">
        <is>
          <t>Common 12V to injector(s). TBI: 1 inj. MPI: splits to 4</t>
        </is>
      </c>
    </row>
    <row r="7">
      <c r="A7" t="n">
        <v>6</v>
      </c>
      <c r="B7" t="inlineStr">
        <is>
          <t>POWER</t>
        </is>
      </c>
      <c r="C7" t="inlineStr">
        <is>
          <t>O2 Heater 12V in</t>
        </is>
      </c>
      <c r="D7" t="inlineStr">
        <is>
          <t>-</t>
        </is>
      </c>
      <c r="E7" t="inlineStr">
        <is>
          <t>-</t>
        </is>
      </c>
      <c r="F7" t="inlineStr">
        <is>
          <t>18 AWG</t>
        </is>
      </c>
      <c r="G7" t="inlineStr">
        <is>
          <t>Cinza</t>
        </is>
      </c>
      <c r="H7" t="inlineStr">
        <is>
          <t>CURRENT</t>
        </is>
      </c>
      <c r="I7" t="inlineStr">
        <is>
          <t>From fuel pump relay output to TinyWB H+12V. Fuse 2A</t>
        </is>
      </c>
    </row>
    <row r="8">
      <c r="A8" t="n">
        <v>7</v>
      </c>
      <c r="B8" t="inlineStr">
        <is>
          <t>INJECTION</t>
        </is>
      </c>
      <c r="C8" t="inlineStr">
        <is>
          <t>INJ1 signal</t>
        </is>
      </c>
      <c r="D8" t="inlineStr">
        <is>
          <t>1</t>
        </is>
      </c>
      <c r="E8" t="inlineStr">
        <is>
          <t>1</t>
        </is>
      </c>
      <c r="F8" t="inlineStr">
        <is>
          <t>18 AWG</t>
        </is>
      </c>
      <c r="G8" t="inlineStr">
        <is>
          <t>Azul</t>
        </is>
      </c>
      <c r="H8" t="inlineStr">
        <is>
          <t>CURRENT</t>
        </is>
      </c>
      <c r="I8" t="inlineStr">
        <is>
          <t>Low-side switch. TBI: single injector. MPI: cyl 1+4 (semi-seq)</t>
        </is>
      </c>
    </row>
    <row r="9">
      <c r="A9" t="n">
        <v>8</v>
      </c>
      <c r="B9" t="inlineStr">
        <is>
          <t>INJECTION</t>
        </is>
      </c>
      <c r="C9" t="inlineStr">
        <is>
          <t>INJ2 signal</t>
        </is>
      </c>
      <c r="D9" t="inlineStr">
        <is>
          <t>2</t>
        </is>
      </c>
      <c r="E9" t="inlineStr">
        <is>
          <t>-</t>
        </is>
      </c>
      <c r="F9" t="inlineStr">
        <is>
          <t>18 AWG</t>
        </is>
      </c>
      <c r="G9" t="inlineStr">
        <is>
          <t>-</t>
        </is>
      </c>
      <c r="H9" t="inlineStr">
        <is>
          <t>FUTURE MPI</t>
        </is>
      </c>
      <c r="I9" t="inlineStr">
        <is>
          <t>MPI: cyl 2+3 (semi-seq) or cyl 2 (sequential)</t>
        </is>
      </c>
    </row>
    <row r="10">
      <c r="A10" t="n">
        <v>9</v>
      </c>
      <c r="B10" t="inlineStr">
        <is>
          <t>INJECTION</t>
        </is>
      </c>
      <c r="C10" t="inlineStr">
        <is>
          <t>INJ3 signal</t>
        </is>
      </c>
      <c r="D10" t="inlineStr">
        <is>
          <t>3</t>
        </is>
      </c>
      <c r="E10" t="inlineStr">
        <is>
          <t>-</t>
        </is>
      </c>
      <c r="F10" t="inlineStr">
        <is>
          <t>18 AWG</t>
        </is>
      </c>
      <c r="G10" t="inlineStr">
        <is>
          <t>-</t>
        </is>
      </c>
      <c r="H10" t="inlineStr">
        <is>
          <t>FUTURE MPI</t>
        </is>
      </c>
      <c r="I10" t="inlineStr">
        <is>
          <t>MPI: cyl 3 (sequential only)</t>
        </is>
      </c>
    </row>
    <row r="11">
      <c r="A11" t="n">
        <v>10</v>
      </c>
      <c r="B11" t="inlineStr">
        <is>
          <t>INJECTION</t>
        </is>
      </c>
      <c r="C11" t="inlineStr">
        <is>
          <t>INJ4 signal</t>
        </is>
      </c>
      <c r="D11" t="inlineStr">
        <is>
          <t>5</t>
        </is>
      </c>
      <c r="E11" t="inlineStr">
        <is>
          <t>-</t>
        </is>
      </c>
      <c r="F11" t="inlineStr">
        <is>
          <t>18 AWG</t>
        </is>
      </c>
      <c r="G11" t="inlineStr">
        <is>
          <t>-</t>
        </is>
      </c>
      <c r="H11" t="inlineStr">
        <is>
          <t>FUTURE MPI</t>
        </is>
      </c>
      <c r="I11" t="inlineStr">
        <is>
          <t>MPI: cyl 4 (sequential only)</t>
        </is>
      </c>
    </row>
    <row r="12">
      <c r="A12" t="n">
        <v>11</v>
      </c>
      <c r="B12" t="inlineStr">
        <is>
          <t>IGNITION</t>
        </is>
      </c>
      <c r="C12" t="inlineStr">
        <is>
          <t>IGN1 output</t>
        </is>
      </c>
      <c r="D12" t="inlineStr">
        <is>
          <t>7</t>
        </is>
      </c>
      <c r="E12" t="inlineStr">
        <is>
          <t>-</t>
        </is>
      </c>
      <c r="F12" t="inlineStr">
        <is>
          <t>18 AWG</t>
        </is>
      </c>
      <c r="G12" t="inlineStr">
        <is>
          <t>-</t>
        </is>
      </c>
      <c r="H12" t="inlineStr">
        <is>
          <t>FUTURE IGN</t>
        </is>
      </c>
      <c r="I12" t="inlineStr">
        <is>
          <t>To Bosch Module 124 input. Enable after VIKA distributor install</t>
        </is>
      </c>
    </row>
    <row r="13">
      <c r="A13" t="n">
        <v>12</v>
      </c>
      <c r="B13" t="inlineStr">
        <is>
          <t>IAC</t>
        </is>
      </c>
      <c r="C13" t="inlineStr">
        <is>
          <t>Stepper 1A</t>
        </is>
      </c>
      <c r="D13" t="inlineStr">
        <is>
          <t>31</t>
        </is>
      </c>
      <c r="E13" t="inlineStr">
        <is>
          <t>23</t>
        </is>
      </c>
      <c r="F13" t="inlineStr">
        <is>
          <t>18 AWG</t>
        </is>
      </c>
      <c r="G13" t="inlineStr">
        <is>
          <t>Cinza</t>
        </is>
      </c>
      <c r="H13" t="inlineStr">
        <is>
          <t>CURRENT</t>
        </is>
      </c>
      <c r="I13" t="inlineStr">
        <is>
          <t>DRV8825 B1 coil</t>
        </is>
      </c>
    </row>
    <row r="14">
      <c r="A14" t="n">
        <v>13</v>
      </c>
      <c r="B14" t="inlineStr">
        <is>
          <t>IAC</t>
        </is>
      </c>
      <c r="C14" t="inlineStr">
        <is>
          <t>Stepper 1B</t>
        </is>
      </c>
      <c r="D14" t="inlineStr">
        <is>
          <t>32</t>
        </is>
      </c>
      <c r="E14" t="inlineStr">
        <is>
          <t>24</t>
        </is>
      </c>
      <c r="F14" t="inlineStr">
        <is>
          <t>18 AWG</t>
        </is>
      </c>
      <c r="G14" t="inlineStr">
        <is>
          <t>Verde</t>
        </is>
      </c>
      <c r="H14" t="inlineStr">
        <is>
          <t>CURRENT</t>
        </is>
      </c>
      <c r="I14" t="inlineStr">
        <is>
          <t>DRV8825 B2 coil</t>
        </is>
      </c>
    </row>
    <row r="15">
      <c r="A15" t="n">
        <v>14</v>
      </c>
      <c r="B15" t="inlineStr">
        <is>
          <t>IAC</t>
        </is>
      </c>
      <c r="C15" t="inlineStr">
        <is>
          <t>Stepper 2A</t>
        </is>
      </c>
      <c r="D15" t="inlineStr">
        <is>
          <t>30</t>
        </is>
      </c>
      <c r="E15" t="inlineStr">
        <is>
          <t>12</t>
        </is>
      </c>
      <c r="F15" t="inlineStr">
        <is>
          <t>18 AWG</t>
        </is>
      </c>
      <c r="G15" t="inlineStr">
        <is>
          <t>Amarelo</t>
        </is>
      </c>
      <c r="H15" t="inlineStr">
        <is>
          <t>CURRENT</t>
        </is>
      </c>
      <c r="I15" t="inlineStr">
        <is>
          <t>DRV8825 A2 coil</t>
        </is>
      </c>
    </row>
    <row r="16">
      <c r="A16" t="n">
        <v>15</v>
      </c>
      <c r="B16" t="inlineStr">
        <is>
          <t>IAC</t>
        </is>
      </c>
      <c r="C16" t="inlineStr">
        <is>
          <t>Stepper 2B</t>
        </is>
      </c>
      <c r="D16" t="inlineStr">
        <is>
          <t>29</t>
        </is>
      </c>
      <c r="E16" t="inlineStr">
        <is>
          <t>11</t>
        </is>
      </c>
      <c r="F16" t="inlineStr">
        <is>
          <t>18 AWG</t>
        </is>
      </c>
      <c r="G16" t="inlineStr">
        <is>
          <t>Roxo</t>
        </is>
      </c>
      <c r="H16" t="inlineStr">
        <is>
          <t>CURRENT</t>
        </is>
      </c>
      <c r="I16" t="inlineStr">
        <is>
          <t>DRV8825 A1 coil</t>
        </is>
      </c>
    </row>
    <row r="17">
      <c r="A17" t="n">
        <v>16</v>
      </c>
      <c r="B17" t="inlineStr">
        <is>
          <t>SENSOR</t>
        </is>
      </c>
      <c r="C17" t="inlineStr">
        <is>
          <t>CLT signal</t>
        </is>
      </c>
      <c r="D17" t="inlineStr">
        <is>
          <t>19</t>
        </is>
      </c>
      <c r="E17" t="inlineStr">
        <is>
          <t>19</t>
        </is>
      </c>
      <c r="F17" t="inlineStr">
        <is>
          <t>20 AWG</t>
        </is>
      </c>
      <c r="G17" t="inlineStr">
        <is>
          <t>Amarelo</t>
        </is>
      </c>
      <c r="H17" t="inlineStr">
        <is>
          <t>CURRENT</t>
        </is>
      </c>
      <c r="I17" t="inlineStr">
        <is>
          <t>Coolant temp NTC to Speeduino CLT input</t>
        </is>
      </c>
    </row>
    <row r="18">
      <c r="A18" t="n">
        <v>17</v>
      </c>
      <c r="B18" t="inlineStr">
        <is>
          <t>SENSOR</t>
        </is>
      </c>
      <c r="C18" t="inlineStr">
        <is>
          <t>IAT signal</t>
        </is>
      </c>
      <c r="D18" t="inlineStr">
        <is>
          <t>20</t>
        </is>
      </c>
      <c r="E18" t="inlineStr">
        <is>
          <t>7</t>
        </is>
      </c>
      <c r="F18" t="inlineStr">
        <is>
          <t>20 AWG</t>
        </is>
      </c>
      <c r="G18" t="inlineStr">
        <is>
          <t>Castanho claro</t>
        </is>
      </c>
      <c r="H18" t="inlineStr">
        <is>
          <t>CURRENT</t>
        </is>
      </c>
      <c r="I18" t="inlineStr">
        <is>
          <t>Inlet air temp NTC to Speeduino IAT input</t>
        </is>
      </c>
    </row>
    <row r="19">
      <c r="A19" t="n">
        <v>18</v>
      </c>
      <c r="B19" t="inlineStr">
        <is>
          <t>SENSOR</t>
        </is>
      </c>
      <c r="C19" t="inlineStr">
        <is>
          <t>TPS signal</t>
        </is>
      </c>
      <c r="D19" t="inlineStr">
        <is>
          <t>22</t>
        </is>
      </c>
      <c r="E19" t="inlineStr">
        <is>
          <t>8</t>
        </is>
      </c>
      <c r="F19" t="inlineStr">
        <is>
          <t>20 AWG</t>
        </is>
      </c>
      <c r="G19" t="inlineStr">
        <is>
          <t>Cinza claro</t>
        </is>
      </c>
      <c r="H19" t="inlineStr">
        <is>
          <t>CURRENT</t>
        </is>
      </c>
      <c r="I19" t="inlineStr">
        <is>
          <t>Throttle position 0-5V to Speeduino TPS input</t>
        </is>
      </c>
    </row>
    <row r="20">
      <c r="A20" t="n">
        <v>19</v>
      </c>
      <c r="B20" t="inlineStr">
        <is>
          <t>SENSOR</t>
        </is>
      </c>
      <c r="C20" t="inlineStr">
        <is>
          <t>Sensor 5V</t>
        </is>
      </c>
      <c r="D20" t="inlineStr">
        <is>
          <t>13,28</t>
        </is>
      </c>
      <c r="E20" t="inlineStr">
        <is>
          <t>5,10</t>
        </is>
      </c>
      <c r="F20" t="inlineStr">
        <is>
          <t>20 AWG</t>
        </is>
      </c>
      <c r="G20" t="inlineStr">
        <is>
          <t>Vermelho</t>
        </is>
      </c>
      <c r="H20" t="inlineStr">
        <is>
          <t>CURRENT</t>
        </is>
      </c>
      <c r="I20" t="inlineStr">
        <is>
          <t>Shared 5V ref for TPS + sensors</t>
        </is>
      </c>
    </row>
    <row r="21">
      <c r="A21" t="n">
        <v>20</v>
      </c>
      <c r="B21" t="inlineStr">
        <is>
          <t>SENSOR</t>
        </is>
      </c>
      <c r="C21" t="inlineStr">
        <is>
          <t>Sensor GND</t>
        </is>
      </c>
      <c r="D21" t="inlineStr">
        <is>
          <t>23</t>
        </is>
      </c>
      <c r="E21" t="inlineStr">
        <is>
          <t>21</t>
        </is>
      </c>
      <c r="F21" t="inlineStr">
        <is>
          <t>20 AWG</t>
        </is>
      </c>
      <c r="G21" t="inlineStr">
        <is>
          <t>Preto</t>
        </is>
      </c>
      <c r="H21" t="inlineStr">
        <is>
          <t>CURRENT</t>
        </is>
      </c>
      <c r="I21" t="inlineStr">
        <is>
          <t>Common ground for CLT + IAT + TPS</t>
        </is>
      </c>
    </row>
    <row r="22">
      <c r="A22" t="n">
        <v>21</v>
      </c>
      <c r="B22" t="inlineStr">
        <is>
          <t>TRIGGER</t>
        </is>
      </c>
      <c r="C22" t="inlineStr">
        <is>
          <t>Trigger signal (Hall)</t>
        </is>
      </c>
      <c r="D22" t="inlineStr">
        <is>
          <t>25</t>
        </is>
      </c>
      <c r="E22" t="inlineStr">
        <is>
          <t>22</t>
        </is>
      </c>
      <c r="F22" t="inlineStr">
        <is>
          <t>20 AWG</t>
        </is>
      </c>
      <c r="G22" t="inlineStr">
        <is>
          <t>Verde</t>
        </is>
      </c>
      <c r="H22" t="inlineStr">
        <is>
          <t>CURRENT</t>
        </is>
      </c>
      <c r="I22" t="inlineStr">
        <is>
          <t>Hall sensor from distributor. VR1+/Crank input</t>
        </is>
      </c>
    </row>
    <row r="23">
      <c r="A23" t="n">
        <v>22</v>
      </c>
      <c r="B23" t="inlineStr">
        <is>
          <t>TRIGGER</t>
        </is>
      </c>
      <c r="C23" t="inlineStr">
        <is>
          <t>Trigger 5V</t>
        </is>
      </c>
      <c r="D23" t="inlineStr">
        <is>
          <t>28</t>
        </is>
      </c>
      <c r="E23" t="inlineStr">
        <is>
          <t>10</t>
        </is>
      </c>
      <c r="F23" t="inlineStr">
        <is>
          <t>20 AWG</t>
        </is>
      </c>
      <c r="G23" t="inlineStr">
        <is>
          <t>Vermelho</t>
        </is>
      </c>
      <c r="H23" t="inlineStr">
        <is>
          <t>CURRENT</t>
        </is>
      </c>
      <c r="I23" t="inlineStr">
        <is>
          <t>Hall sensor power (shared with sensor 5V on Speeduino)</t>
        </is>
      </c>
    </row>
    <row r="24">
      <c r="A24" t="n">
        <v>23</v>
      </c>
      <c r="B24" t="inlineStr">
        <is>
          <t>TRIGGER</t>
        </is>
      </c>
      <c r="C24" t="inlineStr">
        <is>
          <t>Trigger GND</t>
        </is>
      </c>
      <c r="D24" t="inlineStr">
        <is>
          <t>23</t>
        </is>
      </c>
      <c r="E24" t="inlineStr">
        <is>
          <t>21</t>
        </is>
      </c>
      <c r="F24" t="inlineStr">
        <is>
          <t>20 AWG</t>
        </is>
      </c>
      <c r="G24" t="inlineStr">
        <is>
          <t>Preto</t>
        </is>
      </c>
      <c r="H24" t="inlineStr">
        <is>
          <t>CURRENT</t>
        </is>
      </c>
      <c r="I24" t="inlineStr">
        <is>
          <t>Hall sensor ground (separate wire for noise isolation)</t>
        </is>
      </c>
    </row>
    <row r="25">
      <c r="A25" t="n">
        <v>24</v>
      </c>
      <c r="B25" t="inlineStr">
        <is>
          <t>LSU 4.9</t>
        </is>
      </c>
      <c r="C25" t="inlineStr">
        <is>
          <t>LSU IP (Nernst+)</t>
        </is>
      </c>
      <c r="D25" t="inlineStr">
        <is>
          <t>TinyWB IP</t>
        </is>
      </c>
      <c r="E25" t="inlineStr">
        <is>
          <t>-</t>
        </is>
      </c>
      <c r="F25" t="inlineStr">
        <is>
          <t>20 AWG</t>
        </is>
      </c>
      <c r="G25" t="inlineStr">
        <is>
          <t>Vermelho</t>
        </is>
      </c>
      <c r="H25" t="inlineStr">
        <is>
          <t>CURRENT</t>
        </is>
      </c>
      <c r="I25" t="inlineStr">
        <is>
          <t>JPT pin 1. Sensor signal wire - NOT power!</t>
        </is>
      </c>
    </row>
    <row r="26">
      <c r="A26" t="n">
        <v>25</v>
      </c>
      <c r="B26" t="inlineStr">
        <is>
          <t>LSU 4.9</t>
        </is>
      </c>
      <c r="C26" t="inlineStr">
        <is>
          <t>LSU VM (Virtual GND)</t>
        </is>
      </c>
      <c r="D26" t="inlineStr">
        <is>
          <t>TinyWB VM</t>
        </is>
      </c>
      <c r="E26" t="inlineStr">
        <is>
          <t>-</t>
        </is>
      </c>
      <c r="F26" t="inlineStr">
        <is>
          <t>20 AWG</t>
        </is>
      </c>
      <c r="G26" t="inlineStr">
        <is>
          <t>Amarelo</t>
        </is>
      </c>
      <c r="H26" t="inlineStr">
        <is>
          <t>CURRENT</t>
        </is>
      </c>
      <c r="I26" t="inlineStr">
        <is>
          <t>JPT pin 2. Sensor reference</t>
        </is>
      </c>
    </row>
    <row r="27">
      <c r="A27" t="n">
        <v>26</v>
      </c>
      <c r="B27" t="inlineStr">
        <is>
          <t>LSU 4.9</t>
        </is>
      </c>
      <c r="C27" t="inlineStr">
        <is>
          <t>LSU H- (Heater return)</t>
        </is>
      </c>
      <c r="D27" t="inlineStr">
        <is>
          <t>TinyWB H-</t>
        </is>
      </c>
      <c r="E27" t="inlineStr">
        <is>
          <t>-</t>
        </is>
      </c>
      <c r="F27" t="inlineStr">
        <is>
          <t>18 AWG</t>
        </is>
      </c>
      <c r="G27" t="inlineStr">
        <is>
          <t>Branco</t>
        </is>
      </c>
      <c r="H27" t="inlineStr">
        <is>
          <t>CURRENT</t>
        </is>
      </c>
      <c r="I27" t="inlineStr">
        <is>
          <t>JPT pin 3. High current (~1A) heater ground return</t>
        </is>
      </c>
    </row>
    <row r="28">
      <c r="A28" t="n">
        <v>27</v>
      </c>
      <c r="B28" t="inlineStr">
        <is>
          <t>LSU 4.9</t>
        </is>
      </c>
      <c r="C28" t="inlineStr">
        <is>
          <t>LSU H+ (Heater PWM)</t>
        </is>
      </c>
      <c r="D28" t="inlineStr">
        <is>
          <t>TinyWB H+</t>
        </is>
      </c>
      <c r="E28" t="inlineStr">
        <is>
          <t>-</t>
        </is>
      </c>
      <c r="F28" t="inlineStr">
        <is>
          <t>18 AWG</t>
        </is>
      </c>
      <c r="G28" t="inlineStr">
        <is>
          <t>Cinza</t>
        </is>
      </c>
      <c r="H28" t="inlineStr">
        <is>
          <t>CURRENT</t>
        </is>
      </c>
      <c r="I28" t="inlineStr">
        <is>
          <t>JPT pin 4. 12V PWM from TinyWB to sensor heater</t>
        </is>
      </c>
    </row>
    <row r="29">
      <c r="A29" t="n">
        <v>28</v>
      </c>
      <c r="B29" t="inlineStr">
        <is>
          <t>LSU 4.9</t>
        </is>
      </c>
      <c r="C29" t="inlineStr">
        <is>
          <t>LSU IA (Pump current-)</t>
        </is>
      </c>
      <c r="D29" t="inlineStr">
        <is>
          <t>TinyWB IA</t>
        </is>
      </c>
      <c r="E29" t="inlineStr">
        <is>
          <t>-</t>
        </is>
      </c>
      <c r="F29" t="inlineStr">
        <is>
          <t>20 AWG</t>
        </is>
      </c>
      <c r="G29" t="inlineStr">
        <is>
          <t>Azul bebe</t>
        </is>
      </c>
      <c r="H29" t="inlineStr">
        <is>
          <t>CURRENT</t>
        </is>
      </c>
      <c r="I29" t="inlineStr">
        <is>
          <t>JPT pin 5. Sensor signal wire</t>
        </is>
      </c>
    </row>
    <row r="30">
      <c r="A30" t="n">
        <v>29</v>
      </c>
      <c r="B30" t="inlineStr">
        <is>
          <t>LSU 4.9</t>
        </is>
      </c>
      <c r="C30" t="inlineStr">
        <is>
          <t>LSU UN (Nernst-)</t>
        </is>
      </c>
      <c r="D30" t="inlineStr">
        <is>
          <t>TinyWB UN</t>
        </is>
      </c>
      <c r="E30" t="inlineStr">
        <is>
          <t>-</t>
        </is>
      </c>
      <c r="F30" t="inlineStr">
        <is>
          <t>20 AWG</t>
        </is>
      </c>
      <c r="G30" t="inlineStr">
        <is>
          <t>Preto</t>
        </is>
      </c>
      <c r="H30" t="inlineStr">
        <is>
          <t>CURRENT</t>
        </is>
      </c>
      <c r="I30" t="inlineStr">
        <is>
          <t>JPT pin 6. Sensor signal wire - NOT power!</t>
        </is>
      </c>
    </row>
    <row r="31">
      <c r="A31" t="n">
        <v>30</v>
      </c>
      <c r="B31" t="inlineStr">
        <is>
          <t>OUTPUT</t>
        </is>
      </c>
      <c r="C31" t="inlineStr">
        <is>
          <t>Fuel pump relay drive</t>
        </is>
      </c>
      <c r="D31" t="inlineStr">
        <is>
          <t>16</t>
        </is>
      </c>
      <c r="E31" t="inlineStr">
        <is>
          <t>6</t>
        </is>
      </c>
      <c r="F31" t="inlineStr">
        <is>
          <t>18 AWG</t>
        </is>
      </c>
      <c r="G31" t="inlineStr">
        <is>
          <t>Laranja</t>
        </is>
      </c>
      <c r="H31" t="inlineStr">
        <is>
          <t>CURRENT</t>
        </is>
      </c>
      <c r="I31" t="inlineStr">
        <is>
          <t>Low-side switch to relay coil</t>
        </is>
      </c>
    </row>
    <row r="32">
      <c r="A32" t="n">
        <v>31</v>
      </c>
      <c r="B32" t="inlineStr">
        <is>
          <t>OUTPUT</t>
        </is>
      </c>
      <c r="C32" t="inlineStr">
        <is>
          <t>Fan relay drive</t>
        </is>
      </c>
      <c r="D32" t="inlineStr">
        <is>
          <t>15</t>
        </is>
      </c>
      <c r="E32" t="inlineStr">
        <is>
          <t>18</t>
        </is>
      </c>
      <c r="F32" t="inlineStr">
        <is>
          <t>18 AWG</t>
        </is>
      </c>
      <c r="G32" t="inlineStr">
        <is>
          <t>-</t>
        </is>
      </c>
      <c r="H32" t="inlineStr">
        <is>
          <t>CURRENT</t>
        </is>
      </c>
      <c r="I32" t="inlineStr">
        <is>
          <t>Low-side switch to fan relay coil</t>
        </is>
      </c>
    </row>
    <row r="33">
      <c r="A33" t="n">
        <v>32</v>
      </c>
      <c r="B33" t="inlineStr">
        <is>
          <t>OUTPUT</t>
        </is>
      </c>
      <c r="C33" t="inlineStr">
        <is>
          <t>Tacho output</t>
        </is>
      </c>
      <c r="D33" t="inlineStr">
        <is>
          <t>17</t>
        </is>
      </c>
      <c r="E33" t="inlineStr">
        <is>
          <t>-</t>
        </is>
      </c>
      <c r="F33" t="inlineStr">
        <is>
          <t>18 AWG</t>
        </is>
      </c>
      <c r="G33" t="inlineStr">
        <is>
          <t>-</t>
        </is>
      </c>
      <c r="H33" t="inlineStr">
        <is>
          <t>FUTURE</t>
        </is>
      </c>
      <c r="I33" t="inlineStr">
        <is>
          <t>Proto area 4 - dashboard tachometer signal</t>
        </is>
      </c>
    </row>
    <row r="34">
      <c r="A34" t="n">
        <v>33</v>
      </c>
      <c r="B34" t="inlineStr">
        <is>
          <t>OUTPUT</t>
        </is>
      </c>
      <c r="C34" t="inlineStr">
        <is>
          <t>Boost solenoid</t>
        </is>
      </c>
      <c r="D34" t="inlineStr">
        <is>
          <t>35</t>
        </is>
      </c>
      <c r="E34" t="inlineStr">
        <is>
          <t>-</t>
        </is>
      </c>
      <c r="F34" t="inlineStr">
        <is>
          <t>18 AWG</t>
        </is>
      </c>
      <c r="G34" t="inlineStr">
        <is>
          <t>-</t>
        </is>
      </c>
      <c r="H34" t="inlineStr">
        <is>
          <t>FUTURE TURBO</t>
        </is>
      </c>
      <c r="I34" t="inlineStr">
        <is>
          <t>Wastegate/boost control solenoid valve</t>
        </is>
      </c>
    </row>
    <row r="35">
      <c r="A35" t="n">
        <v>34</v>
      </c>
      <c r="B35" t="inlineStr">
        <is>
          <t>INPUT</t>
        </is>
      </c>
      <c r="C35" t="inlineStr">
        <is>
          <t>Clutch switch</t>
        </is>
      </c>
      <c r="D35" t="inlineStr">
        <is>
          <t>18</t>
        </is>
      </c>
      <c r="E35" t="inlineStr">
        <is>
          <t>-</t>
        </is>
      </c>
      <c r="F35" t="inlineStr">
        <is>
          <t>18 AWG</t>
        </is>
      </c>
      <c r="G35" t="inlineStr">
        <is>
          <t>-</t>
        </is>
      </c>
      <c r="H35" t="inlineStr">
        <is>
          <t>FUTURE</t>
        </is>
      </c>
      <c r="I35" t="inlineStr">
        <is>
          <t>Proto area 5 - for launch control + anti-stall</t>
        </is>
      </c>
    </row>
    <row r="36">
      <c r="A36" t="n">
        <v>35</v>
      </c>
      <c r="B36" t="inlineStr">
        <is>
          <t>SPARE</t>
        </is>
      </c>
      <c r="C36" t="inlineStr">
        <is>
          <t>Spare / Flex fuel</t>
        </is>
      </c>
      <c r="D36" t="inlineStr">
        <is>
          <t>14</t>
        </is>
      </c>
      <c r="E36" t="inlineStr">
        <is>
          <t>-</t>
        </is>
      </c>
      <c r="F36" t="inlineStr">
        <is>
          <t>18 AWG</t>
        </is>
      </c>
      <c r="G36" t="inlineStr">
        <is>
          <t>-</t>
        </is>
      </c>
      <c r="H36" t="inlineStr">
        <is>
          <t>SPARE</t>
        </is>
      </c>
      <c r="I36" t="inlineStr">
        <is>
          <t>Proto area 1 - flex fuel sensor or future expansion</t>
        </is>
      </c>
    </row>
    <row r="38">
      <c r="A38">
        <f>== PIN COUNT SUMMARY ===</f>
        <v/>
      </c>
    </row>
    <row r="39">
      <c r="A39" t="inlineStr">
        <is>
          <t>POWER</t>
        </is>
      </c>
      <c r="B39" t="n">
        <v>6</v>
      </c>
      <c r="C39" t="inlineStr">
        <is>
          <t>Main 12V x2, Main GND x2, INJ 12V, O2 Heater 12V</t>
        </is>
      </c>
    </row>
    <row r="40">
      <c r="A40" t="inlineStr">
        <is>
          <t>INJECTION</t>
        </is>
      </c>
      <c r="B40" t="n">
        <v>4</v>
      </c>
      <c r="C40" t="inlineStr">
        <is>
          <t>INJ1 (current TBI), INJ2-4 (future MPI)</t>
        </is>
      </c>
    </row>
    <row r="41">
      <c r="A41" t="inlineStr">
        <is>
          <t>IGNITION</t>
        </is>
      </c>
      <c r="B41" t="n">
        <v>1</v>
      </c>
      <c r="C41" t="inlineStr">
        <is>
          <t>IGN1 (future VIKA distributor)</t>
        </is>
      </c>
    </row>
    <row r="42">
      <c r="A42" t="inlineStr">
        <is>
          <t>IAC</t>
        </is>
      </c>
      <c r="B42" t="n">
        <v>4</v>
      </c>
      <c r="C42" t="inlineStr">
        <is>
          <t>Stepper 1A/1B/2A/2B</t>
        </is>
      </c>
    </row>
    <row r="43">
      <c r="A43" t="inlineStr">
        <is>
          <t>SENSOR</t>
        </is>
      </c>
      <c r="B43" t="n">
        <v>5</v>
      </c>
      <c r="C43" t="inlineStr">
        <is>
          <t>CLT, IAT, TPS, Sensor 5V, Sensor GND</t>
        </is>
      </c>
    </row>
    <row r="44">
      <c r="A44" t="inlineStr">
        <is>
          <t>TRIGGER</t>
        </is>
      </c>
      <c r="B44" t="n">
        <v>3</v>
      </c>
      <c r="C44" t="inlineStr">
        <is>
          <t>Hall signal, 5V, GND</t>
        </is>
      </c>
    </row>
    <row r="45">
      <c r="A45" t="inlineStr">
        <is>
          <t>LSU 4.9</t>
        </is>
      </c>
      <c r="B45" t="n">
        <v>6</v>
      </c>
      <c r="C45" t="inlineStr">
        <is>
          <t>IP, VM, H-, H+, IA, UN (all go to TinyWB inside box)</t>
        </is>
      </c>
    </row>
    <row r="46">
      <c r="A46" t="inlineStr">
        <is>
          <t>OUTPUT</t>
        </is>
      </c>
      <c r="B46" t="n">
        <v>3</v>
      </c>
      <c r="C46" t="inlineStr">
        <is>
          <t>Fuel pump, Fan, Tacho</t>
        </is>
      </c>
    </row>
    <row r="47">
      <c r="A47" t="inlineStr">
        <is>
          <t>FUTURE</t>
        </is>
      </c>
      <c r="B47" t="n">
        <v>2</v>
      </c>
      <c r="C47" t="inlineStr">
        <is>
          <t>Boost solenoid, Clutch switch</t>
        </is>
      </c>
    </row>
    <row r="48">
      <c r="A48" t="inlineStr">
        <is>
          <t>SPARE</t>
        </is>
      </c>
      <c r="B48" t="n">
        <v>1</v>
      </c>
      <c r="C48" t="inlineStr">
        <is>
          <t>Flex fuel or expansion</t>
        </is>
      </c>
    </row>
    <row r="50">
      <c r="A50" t="inlineStr">
        <is>
          <t>TOTAL</t>
        </is>
      </c>
      <c r="B50" t="n">
        <v>35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E4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9.38" customWidth="1" style="21" min="1" max="1"/>
    <col width="21.63" customWidth="1" style="21" min="2" max="2"/>
    <col width="18.75" customWidth="1" style="21" min="3" max="3"/>
  </cols>
  <sheetData>
    <row r="1" ht="22.5" customHeight="1" s="21">
      <c r="A1" s="15" t="inlineStr">
        <is>
          <t>Speeduino Pin</t>
        </is>
      </c>
      <c r="B1" s="15" t="inlineStr">
        <is>
          <t>Speeduino Function</t>
        </is>
      </c>
      <c r="C1" s="15" t="inlineStr">
        <is>
          <t>Box DB27 Pin</t>
        </is>
      </c>
      <c r="D1" s="15" t="inlineStr">
        <is>
          <t>Cor Fio</t>
        </is>
      </c>
      <c r="E1" s="15" t="inlineStr">
        <is>
          <t>Used</t>
        </is>
      </c>
    </row>
    <row r="2" ht="22.5" customHeight="1" s="21">
      <c r="A2" s="16" t="n">
        <v>1</v>
      </c>
      <c r="B2" s="16" t="inlineStr">
        <is>
          <t>Injector 1 1/2</t>
        </is>
      </c>
      <c r="C2" s="16" t="n">
        <v>1</v>
      </c>
      <c r="D2" s="16" t="inlineStr">
        <is>
          <t>Blue</t>
        </is>
      </c>
      <c r="E2" s="16" t="inlineStr">
        <is>
          <t>YES</t>
        </is>
      </c>
    </row>
    <row r="3" ht="22.5" customHeight="1" s="21">
      <c r="A3" s="16" t="n">
        <v>2</v>
      </c>
      <c r="B3" s="16" t="inlineStr">
        <is>
          <t>Injector 2 1/2</t>
        </is>
      </c>
      <c r="C3" s="16" t="n"/>
      <c r="E3" s="16" t="inlineStr">
        <is>
          <t>NO</t>
        </is>
      </c>
    </row>
    <row r="4" ht="22.5" customHeight="1" s="21">
      <c r="A4" s="16" t="n">
        <v>3</v>
      </c>
      <c r="B4" s="16" t="inlineStr">
        <is>
          <t>Injector 3 1/2</t>
        </is>
      </c>
      <c r="C4" s="16" t="n"/>
      <c r="E4" s="16" t="inlineStr">
        <is>
          <t>NO</t>
        </is>
      </c>
    </row>
    <row r="5" ht="22.5" customHeight="1" s="21">
      <c r="A5" s="16" t="n">
        <v>4</v>
      </c>
      <c r="B5" s="16" t="inlineStr">
        <is>
          <t>Injector 3 2/2</t>
        </is>
      </c>
      <c r="C5" s="16" t="n"/>
      <c r="E5" s="16" t="inlineStr">
        <is>
          <t>NO</t>
        </is>
      </c>
    </row>
    <row r="6" ht="22.5" customHeight="1" s="21">
      <c r="A6" s="16" t="n">
        <v>5</v>
      </c>
      <c r="B6" s="16" t="inlineStr">
        <is>
          <t>Injector 4 1/2</t>
        </is>
      </c>
      <c r="C6" s="16" t="n"/>
      <c r="E6" s="16" t="inlineStr">
        <is>
          <t>NO</t>
        </is>
      </c>
    </row>
    <row r="7" ht="22.5" customHeight="1" s="21">
      <c r="A7" s="16" t="n">
        <v>6</v>
      </c>
      <c r="B7" s="16" t="inlineStr">
        <is>
          <t>Injector 4 2/2</t>
        </is>
      </c>
      <c r="C7" s="16" t="n"/>
      <c r="E7" s="16" t="inlineStr">
        <is>
          <t>NO</t>
        </is>
      </c>
    </row>
    <row r="8" ht="22.5" customHeight="1" s="21">
      <c r="A8" s="16" t="n">
        <v>7</v>
      </c>
      <c r="B8" s="16" t="inlineStr">
        <is>
          <t>Ignition 1</t>
        </is>
      </c>
      <c r="C8" s="16" t="n"/>
      <c r="E8" s="16" t="inlineStr">
        <is>
          <t>NO</t>
        </is>
      </c>
    </row>
    <row r="9" ht="22.5" customHeight="1" s="21">
      <c r="A9" s="16" t="n">
        <v>8</v>
      </c>
      <c r="B9" s="16" t="inlineStr">
        <is>
          <t>Ignition 4</t>
        </is>
      </c>
      <c r="C9" s="16" t="n"/>
      <c r="E9" s="16" t="inlineStr">
        <is>
          <t>NO</t>
        </is>
      </c>
    </row>
    <row r="10" ht="22.5" customHeight="1" s="21">
      <c r="A10" s="16" t="n">
        <v>9</v>
      </c>
      <c r="B10" s="16" t="inlineStr">
        <is>
          <t>Ground</t>
        </is>
      </c>
      <c r="C10" s="16" t="n">
        <v>16</v>
      </c>
      <c r="D10" s="16" t="inlineStr">
        <is>
          <t>Preto</t>
        </is>
      </c>
      <c r="E10" s="16" t="inlineStr">
        <is>
          <t>YES</t>
        </is>
      </c>
    </row>
    <row r="11" ht="22.5" customHeight="1" s="21">
      <c r="A11" s="16" t="n">
        <v>10</v>
      </c>
      <c r="B11" s="16" t="inlineStr">
        <is>
          <t>Ground</t>
        </is>
      </c>
      <c r="C11" s="16" t="n">
        <v>4</v>
      </c>
      <c r="D11" s="16" t="inlineStr">
        <is>
          <t>Preto</t>
        </is>
      </c>
      <c r="E11" s="16" t="inlineStr">
        <is>
          <t>YES</t>
        </is>
      </c>
    </row>
    <row r="12" ht="22.5" customHeight="1" s="21">
      <c r="A12" s="16" t="n">
        <v>11</v>
      </c>
      <c r="B12" s="16" t="inlineStr">
        <is>
          <t>Map Sensor (0v-5v)</t>
        </is>
      </c>
      <c r="C12" s="16" t="n"/>
      <c r="E12" s="16" t="inlineStr">
        <is>
          <t>NO</t>
        </is>
      </c>
    </row>
    <row r="13" ht="22.5" customHeight="1" s="21">
      <c r="A13" s="16" t="n">
        <v>12</v>
      </c>
      <c r="B13" s="16" t="inlineStr">
        <is>
          <t>Ground</t>
        </is>
      </c>
      <c r="C13" s="16" t="n">
        <v>17</v>
      </c>
      <c r="D13" s="16" t="inlineStr">
        <is>
          <t>Preto</t>
        </is>
      </c>
      <c r="E13" s="16" t="inlineStr">
        <is>
          <t>YES</t>
        </is>
      </c>
    </row>
    <row r="14" ht="22.5" customHeight="1" s="21">
      <c r="A14" s="16" t="n">
        <v>13</v>
      </c>
      <c r="B14" s="16" t="inlineStr">
        <is>
          <t>5v</t>
        </is>
      </c>
      <c r="C14" s="16" t="n">
        <v>5</v>
      </c>
      <c r="D14" s="16" t="inlineStr">
        <is>
          <t>Vermelho</t>
        </is>
      </c>
      <c r="E14" s="16" t="inlineStr">
        <is>
          <t>YES</t>
        </is>
      </c>
    </row>
    <row r="15" ht="22.5" customHeight="1" s="21">
      <c r="A15" s="16" t="n">
        <v>14</v>
      </c>
      <c r="B15" s="16" t="inlineStr">
        <is>
          <t>Proto Area 1 (Flex Sensor)</t>
        </is>
      </c>
      <c r="C15" s="16" t="n"/>
      <c r="E15" s="16" t="inlineStr">
        <is>
          <t>NO</t>
        </is>
      </c>
    </row>
    <row r="16" ht="22.5" customHeight="1" s="21">
      <c r="A16" s="16" t="n">
        <v>15</v>
      </c>
      <c r="B16" s="16" t="inlineStr">
        <is>
          <t>Proto Area 2 (Fan)</t>
        </is>
      </c>
      <c r="C16" s="16" t="n">
        <v>18</v>
      </c>
      <c r="E16" s="16" t="inlineStr">
        <is>
          <t>YES</t>
        </is>
      </c>
    </row>
    <row r="17" ht="22.5" customHeight="1" s="21">
      <c r="A17" s="16" t="n">
        <v>16</v>
      </c>
      <c r="B17" s="16" t="inlineStr">
        <is>
          <t>Proto Area 3 (Fuel Pump)</t>
        </is>
      </c>
      <c r="C17" s="16" t="n">
        <v>6</v>
      </c>
      <c r="D17" s="16" t="inlineStr">
        <is>
          <t>Relé -&gt;Laranja</t>
        </is>
      </c>
      <c r="E17" s="16" t="inlineStr">
        <is>
          <t>YES</t>
        </is>
      </c>
    </row>
    <row r="18" ht="22.5" customHeight="1" s="21">
      <c r="A18" s="16" t="n">
        <v>17</v>
      </c>
      <c r="B18" s="16" t="inlineStr">
        <is>
          <t>Proto Area 4 (Tachmeter)</t>
        </is>
      </c>
      <c r="C18" s="16" t="n"/>
      <c r="E18" s="16" t="inlineStr">
        <is>
          <t>NO</t>
        </is>
      </c>
    </row>
    <row r="19" ht="22.5" customHeight="1" s="21">
      <c r="A19" s="16" t="n">
        <v>18</v>
      </c>
      <c r="B19" s="16" t="inlineStr">
        <is>
          <t>Proto Area 5 (Clutch)</t>
        </is>
      </c>
      <c r="C19" s="16" t="n"/>
      <c r="E19" s="16" t="inlineStr">
        <is>
          <t>NO</t>
        </is>
      </c>
    </row>
    <row r="20" ht="22.5" customHeight="1" s="21">
      <c r="A20" s="16" t="n">
        <v>19</v>
      </c>
      <c r="B20" s="16" t="inlineStr">
        <is>
          <t>Coolant (CLT)</t>
        </is>
      </c>
      <c r="C20" s="16" t="n">
        <v>19</v>
      </c>
      <c r="D20" s="16" t="inlineStr">
        <is>
          <t>Amarelo</t>
        </is>
      </c>
      <c r="E20" s="16" t="inlineStr">
        <is>
          <t>YES</t>
        </is>
      </c>
    </row>
    <row r="21" ht="22.5" customHeight="1" s="21">
      <c r="A21" s="16" t="n">
        <v>20</v>
      </c>
      <c r="B21" s="16" t="inlineStr">
        <is>
          <t>Inlet Ait Temp (IAT)</t>
        </is>
      </c>
      <c r="C21" s="16" t="n">
        <v>7</v>
      </c>
      <c r="D21" s="16" t="inlineStr">
        <is>
          <t>Light Brown</t>
        </is>
      </c>
      <c r="E21" s="16" t="inlineStr">
        <is>
          <t>YES</t>
        </is>
      </c>
    </row>
    <row r="22" ht="22.5" customHeight="1" s="21">
      <c r="A22" s="16" t="n">
        <v>21</v>
      </c>
      <c r="B22" s="16" t="inlineStr">
        <is>
          <t>O2 Sensor</t>
        </is>
      </c>
      <c r="C22" s="16" t="n"/>
      <c r="E22" s="16" t="inlineStr">
        <is>
          <t>YES</t>
        </is>
      </c>
    </row>
    <row r="23" ht="22.5" customHeight="1" s="21">
      <c r="A23" s="16" t="n">
        <v>22</v>
      </c>
      <c r="B23" s="16" t="inlineStr">
        <is>
          <t>TPS Input</t>
        </is>
      </c>
      <c r="C23" s="16" t="n">
        <v>8</v>
      </c>
      <c r="D23" s="16" t="inlineStr">
        <is>
          <t>Light Grey</t>
        </is>
      </c>
      <c r="E23" s="16" t="inlineStr">
        <is>
          <t>YES</t>
        </is>
      </c>
    </row>
    <row r="24" ht="22.5" customHeight="1" s="21">
      <c r="A24" s="16" t="n">
        <v>23</v>
      </c>
      <c r="B24" s="16" t="inlineStr">
        <is>
          <t>Ground</t>
        </is>
      </c>
      <c r="C24" s="16" t="n">
        <v>21</v>
      </c>
      <c r="D24" s="16" t="inlineStr">
        <is>
          <t>Preto</t>
        </is>
      </c>
      <c r="E24" s="16" t="inlineStr">
        <is>
          <t>YES</t>
        </is>
      </c>
    </row>
    <row r="25" ht="22.5" customHeight="1" s="21">
      <c r="A25" s="16" t="n">
        <v>24</v>
      </c>
      <c r="B25" s="16" t="inlineStr">
        <is>
          <t>Cam/Input/VR2+</t>
        </is>
      </c>
      <c r="C25" s="16" t="n"/>
      <c r="E25" s="16" t="inlineStr">
        <is>
          <t>NO</t>
        </is>
      </c>
    </row>
    <row r="26" ht="22.5" customHeight="1" s="21">
      <c r="A26" s="16" t="n">
        <v>25</v>
      </c>
      <c r="B26" s="16" t="inlineStr">
        <is>
          <t>Crank/Input/VR1+</t>
        </is>
      </c>
      <c r="C26" s="16" t="n">
        <v>22</v>
      </c>
      <c r="D26" s="16" t="inlineStr">
        <is>
          <t>Verde</t>
        </is>
      </c>
      <c r="E26" s="16" t="inlineStr">
        <is>
          <t>YES</t>
        </is>
      </c>
    </row>
    <row r="27" ht="22.5" customHeight="1" s="21">
      <c r="A27" s="16" t="n">
        <v>26</v>
      </c>
      <c r="B27" s="16" t="inlineStr">
        <is>
          <t>VR2</t>
        </is>
      </c>
      <c r="C27" s="16" t="n"/>
      <c r="E27" s="16" t="inlineStr">
        <is>
          <t>NO</t>
        </is>
      </c>
    </row>
    <row r="28" ht="22.5" customHeight="1" s="21">
      <c r="A28" s="16" t="n">
        <v>27</v>
      </c>
      <c r="B28" s="16" t="inlineStr">
        <is>
          <t>VR1</t>
        </is>
      </c>
      <c r="C28" s="16" t="n"/>
      <c r="E28" s="16" t="inlineStr">
        <is>
          <t>NO</t>
        </is>
      </c>
    </row>
    <row r="29" ht="22.5" customHeight="1" s="21">
      <c r="A29" s="16" t="n">
        <v>28</v>
      </c>
      <c r="B29" s="16" t="inlineStr">
        <is>
          <t>5V</t>
        </is>
      </c>
      <c r="C29" s="16" t="n">
        <v>10</v>
      </c>
      <c r="E29" s="16" t="inlineStr">
        <is>
          <t>YES</t>
        </is>
      </c>
    </row>
    <row r="30" ht="22.5" customHeight="1" s="21">
      <c r="A30" s="16" t="n">
        <v>29</v>
      </c>
      <c r="B30" s="16" t="inlineStr">
        <is>
          <t>Idle Stepper 2B</t>
        </is>
      </c>
      <c r="C30" s="16" t="n">
        <v>11</v>
      </c>
      <c r="D30" s="16" t="inlineStr">
        <is>
          <t>roxo</t>
        </is>
      </c>
      <c r="E30" s="16" t="inlineStr">
        <is>
          <t>YES</t>
        </is>
      </c>
    </row>
    <row r="31" ht="22.5" customHeight="1" s="21">
      <c r="A31" s="16" t="n">
        <v>30</v>
      </c>
      <c r="B31" s="16" t="inlineStr">
        <is>
          <t>Idle Stepper 2A</t>
        </is>
      </c>
      <c r="C31" s="16" t="n">
        <v>12</v>
      </c>
      <c r="D31" s="16" t="inlineStr">
        <is>
          <t>amarelo</t>
        </is>
      </c>
      <c r="E31" s="16" t="inlineStr">
        <is>
          <t>YES</t>
        </is>
      </c>
    </row>
    <row r="32" ht="22.5" customHeight="1" s="21">
      <c r="A32" s="16" t="n">
        <v>31</v>
      </c>
      <c r="B32" s="16" t="inlineStr">
        <is>
          <t>Idle Stepper 1A</t>
        </is>
      </c>
      <c r="C32" s="16" t="n">
        <v>23</v>
      </c>
      <c r="D32" s="16" t="inlineStr">
        <is>
          <t>cinza</t>
        </is>
      </c>
      <c r="E32" s="16" t="inlineStr">
        <is>
          <t>YES</t>
        </is>
      </c>
    </row>
    <row r="33" ht="22.5" customHeight="1" s="21">
      <c r="A33" s="16" t="n">
        <v>32</v>
      </c>
      <c r="B33" s="16" t="inlineStr">
        <is>
          <t>Idle Stepper 1B</t>
        </is>
      </c>
      <c r="C33" s="16" t="n">
        <v>24</v>
      </c>
      <c r="D33" s="16" t="inlineStr">
        <is>
          <t>verde</t>
        </is>
      </c>
      <c r="E33" s="16" t="inlineStr">
        <is>
          <t>YES</t>
        </is>
      </c>
    </row>
    <row r="34" ht="22.5" customHeight="1" s="21">
      <c r="A34" s="16" t="n">
        <v>33</v>
      </c>
      <c r="B34" s="16" t="inlineStr">
        <is>
          <t>Ignition 3</t>
        </is>
      </c>
      <c r="C34" s="16" t="n"/>
      <c r="E34" s="16" t="inlineStr">
        <is>
          <t>NO</t>
        </is>
      </c>
    </row>
    <row r="35" ht="22.5" customHeight="1" s="21">
      <c r="A35" s="16" t="n">
        <v>34</v>
      </c>
      <c r="B35" s="16" t="inlineStr">
        <is>
          <t>Ignition 2</t>
        </is>
      </c>
      <c r="C35" s="16" t="n"/>
      <c r="E35" s="16" t="inlineStr">
        <is>
          <t>NO</t>
        </is>
      </c>
    </row>
    <row r="36" ht="22.5" customHeight="1" s="21">
      <c r="A36" s="16" t="n">
        <v>35</v>
      </c>
      <c r="B36" s="16" t="inlineStr">
        <is>
          <t>Boost</t>
        </is>
      </c>
      <c r="C36" s="16" t="n"/>
      <c r="E36" s="16" t="inlineStr">
        <is>
          <t>NO</t>
        </is>
      </c>
    </row>
    <row r="37" ht="22.5" customHeight="1" s="21">
      <c r="A37" s="16" t="n">
        <v>36</v>
      </c>
      <c r="B37" s="16" t="inlineStr">
        <is>
          <t>Idle 2</t>
        </is>
      </c>
      <c r="C37" s="16" t="n"/>
      <c r="E37" s="16" t="inlineStr">
        <is>
          <t>NO</t>
        </is>
      </c>
    </row>
    <row r="38" ht="22.5" customHeight="1" s="21">
      <c r="A38" s="16" t="n">
        <v>37</v>
      </c>
      <c r="B38" s="16" t="inlineStr">
        <is>
          <t>PWM Idle</t>
        </is>
      </c>
      <c r="C38" s="16" t="n"/>
      <c r="E38" s="16" t="inlineStr">
        <is>
          <t>NO</t>
        </is>
      </c>
    </row>
    <row r="39" ht="22.5" customHeight="1" s="21">
      <c r="A39" s="16" t="n">
        <v>38</v>
      </c>
      <c r="B39" s="16" t="inlineStr">
        <is>
          <t>VVT</t>
        </is>
      </c>
      <c r="C39" s="16" t="n"/>
      <c r="E39" s="16" t="inlineStr">
        <is>
          <t>NO</t>
        </is>
      </c>
    </row>
    <row r="40" ht="22.5" customHeight="1" s="21">
      <c r="A40" s="16" t="n">
        <v>39</v>
      </c>
      <c r="B40" s="16" t="inlineStr">
        <is>
          <t>Injector 2 2/2</t>
        </is>
      </c>
      <c r="C40" s="16" t="n"/>
      <c r="E40" s="16" t="inlineStr">
        <is>
          <t>NO</t>
        </is>
      </c>
    </row>
    <row r="41" ht="22.5" customHeight="1" s="21">
      <c r="A41" s="16" t="n">
        <v>40</v>
      </c>
      <c r="B41" s="16" t="inlineStr">
        <is>
          <t>Injector 1 2/2</t>
        </is>
      </c>
      <c r="C41" s="16" t="n"/>
      <c r="E41" s="16" t="inlineStr">
        <is>
          <t>NO</t>
        </is>
      </c>
    </row>
  </sheetData>
  <dataValidations count="1">
    <dataValidation sqref="A2:A41 C2:C41" showDropDown="1" showInputMessage="0" showErrorMessage="0" allowBlank="1" type="custom">
      <formula1>AND(ISNUMBER(A2),(NOT(OR(NOT(ISERROR(DATEVALUE(A2))), AND(ISNUMBER(A2), LEFT(CELL("format", A2))="D")))))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0" summaryRight="0"/>
    <pageSetUpPr fitToPage="1"/>
  </sheetPr>
  <dimension ref="A1:F5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20.63" customWidth="1" style="21" min="1" max="1"/>
    <col width="26.5" customWidth="1" style="21" min="4" max="4"/>
    <col width="13.13" customWidth="1" style="21" min="5" max="5"/>
    <col width="16.13" customWidth="1" style="21" min="6" max="6"/>
    <col width="20.13" customWidth="1" style="21" min="7" max="7"/>
    <col width="15.5" customWidth="1" style="21" min="8" max="8"/>
  </cols>
  <sheetData>
    <row r="1" ht="22.5" customHeight="1" s="21">
      <c r="A1" s="7" t="inlineStr">
        <is>
          <t>Dirceu pin conection</t>
        </is>
      </c>
      <c r="B1" s="15" t="inlineStr">
        <is>
          <t>pin correcto db27</t>
        </is>
      </c>
      <c r="C1" s="15" t="inlineStr">
        <is>
          <t>Cor Fio</t>
        </is>
      </c>
      <c r="D1" s="15" t="inlineStr">
        <is>
          <t xml:space="preserve">Stepper foto wiki speeduino </t>
        </is>
      </c>
      <c r="E1" s="15" t="inlineStr">
        <is>
          <t>Connector</t>
        </is>
      </c>
      <c r="F1" s="15" t="inlineStr">
        <is>
          <t>Speeduino Pin</t>
        </is>
      </c>
    </row>
    <row r="2" ht="22.5" customHeight="1" s="21">
      <c r="A2" s="19" t="inlineStr">
        <is>
          <t>Idle Stepper 2B</t>
        </is>
      </c>
      <c r="B2" s="19" t="n">
        <v>11</v>
      </c>
      <c r="C2" s="9" t="inlineStr">
        <is>
          <t>Roxo</t>
        </is>
      </c>
      <c r="D2" s="20" t="inlineStr">
        <is>
          <t>A1</t>
        </is>
      </c>
      <c r="E2" s="20" t="inlineStr">
        <is>
          <t>A</t>
        </is>
      </c>
      <c r="F2" s="20" t="n">
        <v>29</v>
      </c>
    </row>
    <row r="3" ht="22.5" customHeight="1" s="21">
      <c r="A3" s="19" t="inlineStr">
        <is>
          <t>Idle Stepper 1A</t>
        </is>
      </c>
      <c r="B3" s="19" t="n">
        <v>23</v>
      </c>
      <c r="C3" s="11" t="inlineStr">
        <is>
          <t>Amarelo</t>
        </is>
      </c>
      <c r="D3" s="20" t="inlineStr">
        <is>
          <t>B1</t>
        </is>
      </c>
      <c r="E3" s="20" t="inlineStr">
        <is>
          <t>B</t>
        </is>
      </c>
      <c r="F3" s="20" t="n">
        <v>31</v>
      </c>
    </row>
    <row r="4" ht="22.5" customHeight="1" s="21">
      <c r="A4" s="19" t="inlineStr">
        <is>
          <t>Idle Stepper 1B</t>
        </is>
      </c>
      <c r="B4" s="19" t="n">
        <v>24</v>
      </c>
      <c r="C4" s="12" t="inlineStr">
        <is>
          <t>Cinza</t>
        </is>
      </c>
      <c r="D4" s="20" t="inlineStr">
        <is>
          <t>B2</t>
        </is>
      </c>
      <c r="E4" s="20" t="inlineStr">
        <is>
          <t>C</t>
        </is>
      </c>
      <c r="F4" s="20" t="n">
        <v>32</v>
      </c>
    </row>
    <row r="5" ht="22.5" customHeight="1" s="21">
      <c r="A5" s="19" t="inlineStr">
        <is>
          <t>Idle Stepper 2A</t>
        </is>
      </c>
      <c r="B5" s="19" t="n">
        <v>12</v>
      </c>
      <c r="C5" s="13" t="inlineStr">
        <is>
          <t>Verde</t>
        </is>
      </c>
      <c r="D5" s="20" t="inlineStr">
        <is>
          <t>A2</t>
        </is>
      </c>
      <c r="E5" s="20" t="inlineStr">
        <is>
          <t>D</t>
        </is>
      </c>
      <c r="F5" s="20" t="n">
        <v>30</v>
      </c>
    </row>
  </sheetData>
  <printOptions horizontalCentered="1" gridLines="1"/>
  <pageMargins left="0.7" right="0.7" top="0.75" bottom="0.75" header="0" footer="0"/>
  <pageSetup orientation="landscape" paperSize="9" fitToHeight="0" pageOrder="overThenDown" cellComments="atEnd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F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8.130000000000001" customWidth="1" style="21" min="1" max="1"/>
    <col width="11.13" customWidth="1" style="21" min="2" max="2"/>
    <col width="18.5" customWidth="1" style="21" min="3" max="3"/>
    <col width="9.880000000000001" customWidth="1" style="21" min="4" max="4"/>
    <col width="35.63" customWidth="1" style="21" min="5" max="5"/>
  </cols>
  <sheetData>
    <row r="1" ht="22.5" customHeight="1" s="21">
      <c r="A1" s="20" t="inlineStr">
        <is>
          <t>Cor</t>
        </is>
      </c>
      <c r="B1" s="20" t="inlineStr">
        <is>
          <t>Modelo</t>
        </is>
      </c>
      <c r="C1" s="20" t="inlineStr">
        <is>
          <t>Injector flow</t>
        </is>
      </c>
      <c r="D1" s="20" t="inlineStr">
        <is>
          <t>Ohms</t>
        </is>
      </c>
      <c r="E1" s="15" t="inlineStr">
        <is>
          <t>Notes</t>
        </is>
      </c>
      <c r="F1" s="15" t="inlineStr">
        <is>
          <t>Open time</t>
        </is>
      </c>
    </row>
    <row r="2" ht="22.5" customHeight="1" s="21">
      <c r="A2" s="20" t="inlineStr">
        <is>
          <t>Verde</t>
        </is>
      </c>
      <c r="B2" s="20" t="inlineStr">
        <is>
          <t>IWM50001</t>
        </is>
      </c>
      <c r="C2" s="20" t="inlineStr">
        <is>
          <t>@1bar   48ML - 56 ML</t>
        </is>
      </c>
      <c r="D2" s="20" t="inlineStr">
        <is>
          <t>1.5 - 2.5</t>
        </is>
      </c>
      <c r="E2" s="20" t="inlineStr">
        <is>
          <t>Dirceu diz que no caso dele funciona 21 bl/hr</t>
        </is>
      </c>
      <c r="F2" s="20" t="inlineStr">
        <is>
          <t>1 ms</t>
        </is>
      </c>
    </row>
    <row r="3" ht="22.5" customHeight="1" s="21">
      <c r="A3" s="20" t="n"/>
      <c r="B3" s="20" t="n"/>
      <c r="C3" s="20" t="inlineStr">
        <is>
          <t>40 lb/hr - 50 lb/hr</t>
        </is>
      </c>
      <c r="D3" s="20" t="n"/>
      <c r="E3" s="20" t="n"/>
      <c r="F3" s="20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G1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8.13" customWidth="1" style="21" min="1" max="1"/>
    <col width="12.63" customWidth="1" style="21" min="2" max="2"/>
    <col width="18.88" customWidth="1" style="21" min="3" max="3"/>
    <col width="15.5" customWidth="1" style="21" min="4" max="4"/>
    <col width="18.88" customWidth="1" style="21" min="5" max="5"/>
    <col width="52.5" customWidth="1" style="21" min="7" max="7"/>
  </cols>
  <sheetData>
    <row r="1" ht="22.5" customHeight="1" s="21">
      <c r="A1" s="15" t="inlineStr">
        <is>
          <t>Tiny WB DIY Pin</t>
        </is>
      </c>
      <c r="B1" s="7" t="inlineStr">
        <is>
          <t>JPT 6 Pin</t>
        </is>
      </c>
      <c r="C1" s="7" t="inlineStr">
        <is>
          <t>cor fio</t>
        </is>
      </c>
      <c r="D1" s="15" t="inlineStr">
        <is>
          <t>Box DB27 Pin</t>
        </is>
      </c>
      <c r="E1" s="15" t="inlineStr">
        <is>
          <t>Name</t>
        </is>
      </c>
      <c r="F1" s="15" t="inlineStr">
        <is>
          <t>Function</t>
        </is>
      </c>
      <c r="G1" s="15" t="inlineStr">
        <is>
          <t>Conexão sugerida</t>
        </is>
      </c>
    </row>
    <row r="2" ht="22.5" customHeight="1" s="21">
      <c r="A2" s="16" t="inlineStr">
        <is>
          <t>UN</t>
        </is>
      </c>
      <c r="B2" s="16" t="n">
        <v>6</v>
      </c>
      <c r="C2" s="16" t="inlineStr">
        <is>
          <t>preto</t>
        </is>
      </c>
      <c r="D2" s="16" t="n">
        <v>14</v>
      </c>
      <c r="E2" s="16" t="inlineStr">
        <is>
          <t>Nernst cell -</t>
        </is>
      </c>
      <c r="F2" s="16" t="inlineStr">
        <is>
          <t>Sinal do sensor (milivolts) - célula Nernst negativa. NÃO é alimentação 12V!</t>
        </is>
      </c>
      <c r="G2" s="16" t="inlineStr">
        <is>
          <t>Liga ao pino UN do TinyWB (sinal do sensor LSU 4.9)</t>
        </is>
      </c>
    </row>
    <row r="3" ht="22.5" customHeight="1" s="21">
      <c r="A3" s="16" t="inlineStr">
        <is>
          <t>IP</t>
        </is>
      </c>
      <c r="B3" s="16" t="n">
        <v>1</v>
      </c>
      <c r="C3" s="16" t="inlineStr">
        <is>
          <t>vermelho</t>
        </is>
      </c>
      <c r="D3" s="16" t="n">
        <v>2</v>
      </c>
      <c r="E3" s="16" t="inlineStr">
        <is>
          <t>Nernst cell +</t>
        </is>
      </c>
      <c r="F3" s="16" t="inlineStr">
        <is>
          <t>Sinal do sensor (milivolts) - célula Nernst positiva / corrente de bomba. NÃO é alimentação 12V!</t>
        </is>
      </c>
      <c r="G3" s="16" t="inlineStr">
        <is>
          <t>Liga ao pino IP do TinyWB (sinal do sensor LSU 4.9)</t>
        </is>
      </c>
    </row>
    <row r="4" ht="22.5" customHeight="1" s="21">
      <c r="A4" s="16" t="inlineStr">
        <is>
          <t>IA</t>
        </is>
      </c>
      <c r="B4" s="16" t="n">
        <v>5</v>
      </c>
      <c r="C4" s="16" t="inlineStr">
        <is>
          <t>azul bebe</t>
        </is>
      </c>
      <c r="D4" s="16" t="n">
        <v>15</v>
      </c>
      <c r="E4" s="16" t="inlineStr">
        <is>
          <t>Pump current -</t>
        </is>
      </c>
      <c r="F4" s="16" t="inlineStr">
        <is>
          <t>Sinal do sensor - corrente de bomba negativa. A saída AFR (0-5V) é o pino LIN (lado esquerdo do TinyWB), NÃO este pino.</t>
        </is>
      </c>
      <c r="G4" s="16" t="inlineStr">
        <is>
          <t>Liga ao pino IA do TinyWB (sinal do sensor LSU 4.9)</t>
        </is>
      </c>
    </row>
    <row r="5" ht="22.5" customHeight="1" s="21">
      <c r="A5" s="16" t="inlineStr">
        <is>
          <t>12V O2</t>
        </is>
      </c>
      <c r="B5" s="16" t="n">
        <v>4</v>
      </c>
      <c r="C5" s="16" t="inlineStr">
        <is>
          <t>cinza</t>
        </is>
      </c>
      <c r="D5" s="16" t="n">
        <v>3</v>
      </c>
      <c r="E5" s="16" t="inlineStr">
        <is>
          <t>O₂ Heater 12 V</t>
        </is>
      </c>
      <c r="F5" s="16" t="inlineStr">
        <is>
          <t>Alimentação 12 V para o aquecedor da sonda lambda (normalmente direto da bateria ou pós-chave).</t>
        </is>
      </c>
      <c r="G5" s="16" t="inlineStr">
        <is>
          <t>12 V pós-chave para aquecer a sonda</t>
        </is>
      </c>
    </row>
    <row r="6" ht="22.5" customHeight="1" s="21">
      <c r="A6" s="16" t="inlineStr">
        <is>
          <t>VM</t>
        </is>
      </c>
      <c r="B6" s="16" t="n">
        <v>2</v>
      </c>
      <c r="C6" s="16" t="inlineStr">
        <is>
          <t>amarelo</t>
        </is>
      </c>
      <c r="D6" s="16" t="n">
        <v>20</v>
      </c>
      <c r="E6" s="16" t="inlineStr">
        <is>
          <t>Virtual ground</t>
        </is>
      </c>
      <c r="F6" s="16" t="inlineStr">
        <is>
          <t>Terra virtual (referência do sensor). NÃO é monitor de tensão da bateria.</t>
        </is>
      </c>
      <c r="G6" s="16" t="inlineStr">
        <is>
          <t>Liga ao pino VM do TinyWB (referência do sensor LSU 4.9)</t>
        </is>
      </c>
    </row>
    <row r="7" ht="22.5" customHeight="1" s="21">
      <c r="A7" s="16" t="inlineStr">
        <is>
          <t>H-</t>
        </is>
      </c>
      <c r="B7" s="16" t="n">
        <v>3</v>
      </c>
      <c r="C7" s="16" t="inlineStr">
        <is>
          <t>branco</t>
        </is>
      </c>
      <c r="D7" s="16" t="n">
        <v>9</v>
      </c>
      <c r="E7" s="16" t="inlineStr">
        <is>
          <t>Heater Negative</t>
        </is>
      </c>
      <c r="F7" s="16" t="inlineStr">
        <is>
          <t>Retorno (terra) do aquecedor da sonda lambda — controlado pelo módulo (PWM).</t>
        </is>
      </c>
      <c r="G7" s="16" t="inlineStr">
        <is>
          <t>Vai para o pino “Heater –” da sonda lambda</t>
        </is>
      </c>
    </row>
    <row r="8" ht="22.5" customHeight="1" s="21">
      <c r="A8" s="16" t="inlineStr">
        <is>
          <t>Sonda Bosch LSU 4.9</t>
        </is>
      </c>
      <c r="B8" s="16" t="n"/>
      <c r="C8" s="16" t="n"/>
      <c r="D8" s="16" t="n"/>
      <c r="E8" s="16" t="n"/>
      <c r="F8" s="16" t="n"/>
      <c r="G8" s="16" t="n"/>
    </row>
    <row r="9">
      <c r="A9" s="0" t="inlineStr">
        <is>
          <t>LIN</t>
        </is>
      </c>
      <c r="B9" s="0" t="inlineStr">
        <is>
          <t>-</t>
        </is>
      </c>
      <c r="C9" s="0" t="inlineStr">
        <is>
          <t>-</t>
        </is>
      </c>
      <c r="D9" s="0" t="inlineStr">
        <is>
          <t>-</t>
        </is>
      </c>
      <c r="E9" s="0" t="inlineStr">
        <is>
          <t>AFR Output (0-5V)</t>
        </is>
      </c>
      <c r="F9" s="0" t="inlineStr">
        <is>
          <t>Saída analógica AFR (0-5V) para ECU. Este é o pino REAL de saída AFR (lado esquerdo do TinyWB).</t>
        </is>
      </c>
      <c r="G9" s="0" t="inlineStr">
        <is>
          <t>Liga ao input O2 do Speeduino (proto area)</t>
        </is>
      </c>
    </row>
    <row r="10">
      <c r="A10" s="0" t="inlineStr">
        <is>
          <t>5V</t>
        </is>
      </c>
      <c r="B10" s="0" t="inlineStr">
        <is>
          <t>-</t>
        </is>
      </c>
      <c r="C10" s="0" t="inlineStr">
        <is>
          <t>-</t>
        </is>
      </c>
      <c r="D10" s="0" t="inlineStr">
        <is>
          <t>-</t>
        </is>
      </c>
      <c r="E10" s="0" t="inlineStr">
        <is>
          <t>Logic Power 5V</t>
        </is>
      </c>
      <c r="F10" s="0" t="inlineStr">
        <is>
          <t>Alimentação lógica 5V do TinyWB (lado esquerdo).</t>
        </is>
      </c>
      <c r="G10" s="0" t="inlineStr">
        <is>
          <t>Liga ao 5V do Speeduino (proto area)</t>
        </is>
      </c>
    </row>
    <row r="11">
      <c r="A11" s="0" t="inlineStr">
        <is>
          <t>GND</t>
        </is>
      </c>
      <c r="B11" s="0" t="inlineStr">
        <is>
          <t>-</t>
        </is>
      </c>
      <c r="C11" s="0" t="inlineStr">
        <is>
          <t>-</t>
        </is>
      </c>
      <c r="D11" s="0" t="inlineStr">
        <is>
          <t>-</t>
        </is>
      </c>
      <c r="E11" s="0" t="inlineStr">
        <is>
          <t>Ground</t>
        </is>
      </c>
      <c r="F11" s="0" t="inlineStr">
        <is>
          <t>Terra do TinyWB - USAR screw terminal do Speeduino, NÃO proto area (corrente do aquecedor 1A causa offset).</t>
        </is>
      </c>
      <c r="G11" s="0" t="inlineStr">
        <is>
          <t>Liga ao GND screw terminal do Speeduino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B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5.5" customWidth="1" style="21" min="1" max="1"/>
    <col width="19.63" customWidth="1" style="21" min="2" max="2"/>
  </cols>
  <sheetData>
    <row r="1" ht="22.5" customHeight="1" s="21">
      <c r="A1" s="15" t="inlineStr">
        <is>
          <t>Box DB27 Pin</t>
        </is>
      </c>
      <c r="B1" s="15" t="inlineStr">
        <is>
          <t>O Que é</t>
        </is>
      </c>
    </row>
    <row r="2" ht="22.5" customHeight="1" s="21">
      <c r="A2" s="16" t="n">
        <v>13</v>
      </c>
      <c r="B2" s="16" t="inlineStr">
        <is>
          <t>Positivo - Chave</t>
        </is>
      </c>
    </row>
    <row r="3" ht="22.5" customHeight="1" s="21">
      <c r="A3" s="16" t="n">
        <v>25</v>
      </c>
      <c r="B3" s="16" t="inlineStr">
        <is>
          <t>Negativo Carro Chassis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E6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3" customWidth="1" style="21" min="3" max="3"/>
    <col width="16.25" customWidth="1" style="21" min="4" max="5"/>
  </cols>
  <sheetData>
    <row r="1" ht="22.5" customHeight="1" s="21">
      <c r="A1" s="20" t="inlineStr">
        <is>
          <t>cº</t>
        </is>
      </c>
      <c r="B1" s="20" t="inlineStr">
        <is>
          <t>ohms</t>
        </is>
      </c>
      <c r="C1" s="15" t="inlineStr">
        <is>
          <t>49919501</t>
        </is>
      </c>
      <c r="D1" s="15" t="inlineStr">
        <is>
          <t>049 919 501 A</t>
        </is>
      </c>
      <c r="E1" s="15" t="inlineStr">
        <is>
          <t>049 919 501 A 2</t>
        </is>
      </c>
    </row>
    <row r="2" ht="22.5" customHeight="1" s="21">
      <c r="A2" s="20" t="n">
        <v>20</v>
      </c>
      <c r="B2" s="20" t="n">
        <v>1000</v>
      </c>
      <c r="D2" s="16" t="n"/>
      <c r="E2" s="16" t="n"/>
    </row>
    <row r="3" ht="22.5" customHeight="1" s="21">
      <c r="A3" s="20" t="n">
        <v>60</v>
      </c>
      <c r="B3" s="20" t="n">
        <v>250</v>
      </c>
      <c r="D3" s="16" t="n"/>
      <c r="E3" s="16" t="n"/>
    </row>
    <row r="4" ht="22.5" customHeight="1" s="21">
      <c r="A4" s="20" t="n">
        <v>100</v>
      </c>
      <c r="B4" s="20" t="n">
        <v>75</v>
      </c>
      <c r="D4" s="16" t="n"/>
      <c r="E4" s="16" t="n"/>
    </row>
    <row r="5">
      <c r="A5" s="17" t="n"/>
      <c r="B5" s="17" t="n"/>
    </row>
    <row r="6">
      <c r="A6" s="17" t="n"/>
      <c r="B6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C4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sheetData>
    <row r="1" ht="22.5" customHeight="1" s="21">
      <c r="A1" s="19" t="inlineStr">
        <is>
          <t>c°</t>
        </is>
      </c>
      <c r="B1" s="19" t="inlineStr">
        <is>
          <t>ohms</t>
        </is>
      </c>
      <c r="C1" s="19" t="inlineStr">
        <is>
          <t>0281130041</t>
        </is>
      </c>
    </row>
    <row r="2" ht="22.5" customHeight="1" s="21">
      <c r="A2" s="19" t="n">
        <v>0</v>
      </c>
      <c r="B2" s="19" t="n">
        <v>5896</v>
      </c>
      <c r="C2" s="19" t="n"/>
    </row>
    <row r="3" ht="22.5" customHeight="1" s="21">
      <c r="A3" s="19" t="n">
        <v>20</v>
      </c>
      <c r="B3" s="19" t="n">
        <v>2500</v>
      </c>
      <c r="C3" s="19" t="n"/>
    </row>
    <row r="4" ht="22.5" customHeight="1" s="21">
      <c r="A4" s="19" t="n">
        <v>80</v>
      </c>
      <c r="B4" s="19" t="n">
        <v>292</v>
      </c>
      <c r="C4" s="19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C4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sheetData>
    <row r="1" ht="22.5" customHeight="1" s="21">
      <c r="A1" s="20" t="inlineStr">
        <is>
          <t>iat that comes with gol g2</t>
        </is>
      </c>
      <c r="B1" s="20" t="inlineStr">
        <is>
          <t>cº</t>
        </is>
      </c>
      <c r="C1" s="20" t="inlineStr">
        <is>
          <t>ohm</t>
        </is>
      </c>
    </row>
    <row r="2" ht="22.5" customHeight="1" s="21">
      <c r="A2" s="20" t="n"/>
      <c r="B2" s="20" t="n">
        <v>0</v>
      </c>
      <c r="C2" s="20" t="n">
        <v>5896</v>
      </c>
    </row>
    <row r="3" ht="22.5" customHeight="1" s="21">
      <c r="A3" s="20" t="n"/>
      <c r="B3" s="20" t="n">
        <v>20</v>
      </c>
      <c r="C3" s="20" t="n">
        <v>2500</v>
      </c>
    </row>
    <row r="4" ht="22.5" customHeight="1" s="21">
      <c r="A4" s="20" t="n"/>
      <c r="B4" s="20" t="n">
        <v>80</v>
      </c>
      <c r="C4" s="20" t="n">
        <v>323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2026-03-11T23:56:03Z</dcterms:created>
  <dcterms:modified xsi:type="dcterms:W3CDTF">2026-03-12T00:04:48Z</dcterms:modified>
</cp:coreProperties>
</file>